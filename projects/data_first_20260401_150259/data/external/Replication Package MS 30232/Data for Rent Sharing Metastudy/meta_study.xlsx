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imonjaeger/Dropbox (Personal)/Est_BargainingPower/QJE Submission Package/metastudy data/"/>
    </mc:Choice>
  </mc:AlternateContent>
  <xr:revisionPtr revIDLastSave="0" documentId="13_ncr:1_{6E681773-CE45-0B48-89A9-2C4E99560585}" xr6:coauthVersionLast="36" xr6:coauthVersionMax="36" xr10:uidLastSave="{00000000-0000-0000-0000-000000000000}"/>
  <bookViews>
    <workbookView xWindow="37280" yWindow="-2740" windowWidth="25600" windowHeight="14520" xr2:uid="{00000000-000D-0000-FFFF-FFFF00000000}"/>
  </bookViews>
  <sheets>
    <sheet name="Table 1" sheetId="1" r:id="rId1"/>
    <sheet name="CalculatingOwnPhi" sheetId="2" r:id="rId2"/>
  </sheets>
  <calcPr calcId="181029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2" l="1"/>
  <c r="D38" i="1" s="1"/>
  <c r="B4" i="2" l="1"/>
  <c r="D39" i="1" s="1"/>
  <c r="B5" i="2"/>
  <c r="D40" i="1" s="1"/>
  <c r="B6" i="2"/>
  <c r="D41" i="1" s="1"/>
</calcChain>
</file>

<file path=xl/sharedStrings.xml><?xml version="1.0" encoding="utf-8"?>
<sst xmlns="http://schemas.openxmlformats.org/spreadsheetml/2006/main" count="91" uniqueCount="51">
  <si>
    <t>position</t>
  </si>
  <si>
    <t>se</t>
  </si>
  <si>
    <t>Christofides and Oswald (1992)</t>
  </si>
  <si>
    <t>Blanchflower, Oswald, Sanfey (1996)</t>
  </si>
  <si>
    <t>Abowd and Lemieux (1993)</t>
  </si>
  <si>
    <t>Van Reenen (1996)</t>
  </si>
  <si>
    <t>Hildreth and Oswald (1997)</t>
  </si>
  <si>
    <t>Hildreth (1998)</t>
  </si>
  <si>
    <t>Margolis and Salvanes (2001), France</t>
  </si>
  <si>
    <t>Margolis and Salvanes (2001), Norway</t>
  </si>
  <si>
    <t>Arai (2003)</t>
  </si>
  <si>
    <t>Guiso, Pistaferri, Schivardi (2005)</t>
  </si>
  <si>
    <t>Fakhfakf and FitzRoy (2004)</t>
  </si>
  <si>
    <t>Martins (2009)</t>
  </si>
  <si>
    <t>Guertzgen (2009)</t>
  </si>
  <si>
    <t>Carlsson, Messina, and Skans (2014)</t>
  </si>
  <si>
    <t>paper</t>
  </si>
  <si>
    <t>Industry-Level Profit Measure</t>
  </si>
  <si>
    <t>Firm-Level Profit but Mean Wage</t>
  </si>
  <si>
    <t>Firm-Level Profit and Indiv. Wage</t>
  </si>
  <si>
    <t>Category</t>
  </si>
  <si>
    <t>beta</t>
  </si>
  <si>
    <t>Macro Calibrations</t>
  </si>
  <si>
    <t>Shimer (2005)</t>
  </si>
  <si>
    <t>Hagedorn-Manovskii (2008)</t>
  </si>
  <si>
    <t>Kline et al. (2017)</t>
  </si>
  <si>
    <t xml:space="preserve">Gertler et a. (2009) </t>
  </si>
  <si>
    <t>Outside Options</t>
  </si>
  <si>
    <t>Pissarides (2009)</t>
  </si>
  <si>
    <t>Chodorow-Reich and Karabarbounis (2016)</t>
  </si>
  <si>
    <t>Christiano, Eichenbaum, and Trabandt (2017)</t>
  </si>
  <si>
    <t>Du Caju, Rycx, Tojerow (2009)</t>
  </si>
  <si>
    <t>Barth et al (2016)</t>
  </si>
  <si>
    <t>Card, Devicienti, Maida (2014)</t>
  </si>
  <si>
    <t>Arai and Heyman (2009)</t>
  </si>
  <si>
    <t>Card, Cardoso, Kline (2016), Between Firm</t>
  </si>
  <si>
    <t>Card, Cardoso, Kline (2016), Stayers</t>
  </si>
  <si>
    <t>Jäger, Schoefer, Zweimüller, Young (2018)</t>
  </si>
  <si>
    <t>Garin (2018)</t>
  </si>
  <si>
    <t>tau</t>
  </si>
  <si>
    <t>Est</t>
  </si>
  <si>
    <t>Phi</t>
  </si>
  <si>
    <t>Profit Measure</t>
  </si>
  <si>
    <t>Elasticity</t>
  </si>
  <si>
    <t>Estevao and Tevlin (2003), Value added</t>
  </si>
  <si>
    <t>Cardoso and Portela (2009), permanent</t>
  </si>
  <si>
    <t>Estevao and Tevlin (2003), Profit</t>
  </si>
  <si>
    <t>Bagger et al. (2014)</t>
  </si>
  <si>
    <t>Industry_Year_Fes</t>
  </si>
  <si>
    <t>Card, Cardoso, Heining and Kline (2018), AKM specification</t>
  </si>
  <si>
    <t>Jäger, Schoefer and Heinig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</si>
</sst>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u/>
      <sz val="10"/>
      <color theme="10"/>
      <name val="Times New Roman"/>
      <family val="1"/>
    </font>
    <font>
      <u/>
      <sz val="10"/>
      <color theme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A17" zoomScale="90" zoomScaleNormal="90" zoomScalePageLayoutView="90" workbookViewId="0">
      <selection activeCell="F41" sqref="F41"/>
    </sheetView>
  </sheetViews>
  <sheetFormatPr baseColWidth="10" defaultColWidth="9" defaultRowHeight="15" x14ac:dyDescent="0.15"/>
  <cols>
    <col min="1" max="1" width="31.19921875" style="1" customWidth="1"/>
    <col min="3" max="3" width="66.3984375" customWidth="1"/>
    <col min="4" max="4" width="15.19921875" customWidth="1"/>
    <col min="5" max="5" width="15.19921875" style="1" customWidth="1"/>
    <col min="6" max="6" width="30.19921875" style="1" customWidth="1"/>
    <col min="7" max="10" width="9" style="1"/>
  </cols>
  <sheetData>
    <row r="1" spans="1:8" ht="25" customHeight="1" x14ac:dyDescent="0.15">
      <c r="A1" s="1" t="s">
        <v>20</v>
      </c>
      <c r="B1" s="1" t="s">
        <v>0</v>
      </c>
      <c r="C1" s="1" t="s">
        <v>16</v>
      </c>
      <c r="D1" s="1" t="s">
        <v>21</v>
      </c>
      <c r="E1" s="1" t="s">
        <v>1</v>
      </c>
      <c r="F1" s="1" t="s">
        <v>42</v>
      </c>
      <c r="G1" s="1" t="s">
        <v>43</v>
      </c>
      <c r="H1" s="1" t="s">
        <v>48</v>
      </c>
    </row>
    <row r="2" spans="1:8" ht="20" customHeight="1" x14ac:dyDescent="0.15">
      <c r="A2" s="1" t="s">
        <v>22</v>
      </c>
      <c r="B2" s="1">
        <v>-8</v>
      </c>
      <c r="C2" s="1" t="s">
        <v>23</v>
      </c>
      <c r="D2" s="1">
        <v>0.72</v>
      </c>
      <c r="E2" s="1">
        <v>0</v>
      </c>
      <c r="F2" s="1">
        <v>0</v>
      </c>
      <c r="G2" s="1">
        <v>1</v>
      </c>
      <c r="H2" s="1">
        <v>0</v>
      </c>
    </row>
    <row r="3" spans="1:8" ht="19" customHeight="1" x14ac:dyDescent="0.15">
      <c r="A3" s="1" t="s">
        <v>22</v>
      </c>
      <c r="B3" s="1">
        <v>-7</v>
      </c>
      <c r="C3" s="1" t="s">
        <v>24</v>
      </c>
      <c r="D3" s="1">
        <v>0.05</v>
      </c>
      <c r="E3" s="1">
        <v>0</v>
      </c>
      <c r="F3" s="1">
        <v>0</v>
      </c>
      <c r="G3" s="1">
        <v>1</v>
      </c>
      <c r="H3" s="1">
        <v>0</v>
      </c>
    </row>
    <row r="4" spans="1:8" ht="26" customHeight="1" x14ac:dyDescent="0.15">
      <c r="A4" s="1" t="s">
        <v>22</v>
      </c>
      <c r="B4" s="1">
        <v>-6</v>
      </c>
      <c r="C4" s="1" t="s">
        <v>29</v>
      </c>
      <c r="D4" s="1">
        <v>0.4</v>
      </c>
      <c r="E4" s="1">
        <v>0</v>
      </c>
      <c r="F4" s="1">
        <v>0</v>
      </c>
      <c r="G4" s="1">
        <v>1</v>
      </c>
      <c r="H4" s="1">
        <v>0</v>
      </c>
    </row>
    <row r="5" spans="1:8" ht="18" customHeight="1" x14ac:dyDescent="0.15">
      <c r="A5" s="1" t="s">
        <v>22</v>
      </c>
      <c r="B5" s="1">
        <v>-5</v>
      </c>
      <c r="C5" s="1" t="s">
        <v>30</v>
      </c>
      <c r="D5" s="1">
        <v>0.67</v>
      </c>
      <c r="E5" s="1">
        <v>0</v>
      </c>
      <c r="F5" s="1">
        <v>1</v>
      </c>
      <c r="G5" s="1">
        <v>0</v>
      </c>
      <c r="H5" s="1">
        <v>0</v>
      </c>
    </row>
    <row r="6" spans="1:8" ht="19" customHeight="1" x14ac:dyDescent="0.15">
      <c r="A6" s="1" t="s">
        <v>22</v>
      </c>
      <c r="B6" s="1">
        <v>-4</v>
      </c>
      <c r="C6" s="1" t="s">
        <v>26</v>
      </c>
      <c r="D6" s="1">
        <v>0.5</v>
      </c>
      <c r="E6" s="1">
        <v>0</v>
      </c>
      <c r="F6" s="1">
        <v>0</v>
      </c>
      <c r="G6" s="1">
        <v>1</v>
      </c>
      <c r="H6" s="1">
        <v>0</v>
      </c>
    </row>
    <row r="7" spans="1:8" ht="19" customHeight="1" x14ac:dyDescent="0.15">
      <c r="A7" s="1" t="s">
        <v>22</v>
      </c>
      <c r="B7" s="1">
        <v>-3</v>
      </c>
      <c r="C7" s="1" t="s">
        <v>28</v>
      </c>
      <c r="D7" s="1">
        <v>0.5</v>
      </c>
      <c r="E7" s="1">
        <v>0</v>
      </c>
      <c r="F7" s="1">
        <v>0</v>
      </c>
      <c r="G7" s="1">
        <v>1</v>
      </c>
      <c r="H7" s="1">
        <v>0</v>
      </c>
    </row>
    <row r="8" spans="1:8" ht="19" customHeight="1" x14ac:dyDescent="0.15">
      <c r="A8" s="1" t="s">
        <v>17</v>
      </c>
      <c r="B8" s="1">
        <v>-1</v>
      </c>
      <c r="C8" s="1" t="s">
        <v>2</v>
      </c>
      <c r="D8" s="1">
        <v>0.14000000000000001</v>
      </c>
      <c r="E8" s="1">
        <v>3.5000000000000003E-2</v>
      </c>
      <c r="F8" s="1">
        <v>1</v>
      </c>
      <c r="G8" s="1">
        <v>1</v>
      </c>
      <c r="H8" s="1">
        <v>0</v>
      </c>
    </row>
    <row r="9" spans="1:8" ht="25" customHeight="1" x14ac:dyDescent="0.15">
      <c r="A9" s="1" t="s">
        <v>17</v>
      </c>
      <c r="B9" s="1">
        <v>0</v>
      </c>
      <c r="C9" s="1" t="s">
        <v>3</v>
      </c>
      <c r="D9" s="1">
        <v>0.06</v>
      </c>
      <c r="E9" s="1">
        <v>2.4E-2</v>
      </c>
      <c r="F9" s="1">
        <v>1</v>
      </c>
      <c r="G9" s="1">
        <v>1</v>
      </c>
      <c r="H9" s="1">
        <v>0</v>
      </c>
    </row>
    <row r="10" spans="1:8" ht="25" customHeight="1" x14ac:dyDescent="0.15">
      <c r="A10" s="1" t="s">
        <v>17</v>
      </c>
      <c r="B10" s="1">
        <v>1</v>
      </c>
      <c r="C10" s="1" t="s">
        <v>46</v>
      </c>
      <c r="D10" s="1">
        <v>0.14000000000000001</v>
      </c>
      <c r="F10" s="1">
        <v>1</v>
      </c>
      <c r="G10" s="1">
        <v>1</v>
      </c>
      <c r="H10" s="1">
        <v>0</v>
      </c>
    </row>
    <row r="11" spans="1:8" ht="19" customHeight="1" x14ac:dyDescent="0.15">
      <c r="A11" s="1" t="s">
        <v>17</v>
      </c>
      <c r="B11" s="1">
        <v>2</v>
      </c>
      <c r="C11" s="1" t="s">
        <v>44</v>
      </c>
      <c r="D11" s="1">
        <v>0.28999999999999998</v>
      </c>
      <c r="E11" s="1">
        <v>0.1</v>
      </c>
      <c r="F11" s="1">
        <v>0</v>
      </c>
      <c r="G11" s="1">
        <v>1</v>
      </c>
      <c r="H11" s="1">
        <v>0</v>
      </c>
    </row>
    <row r="12" spans="1:8" ht="19" customHeight="1" x14ac:dyDescent="0.15">
      <c r="A12" s="1" t="s">
        <v>18</v>
      </c>
      <c r="B12">
        <v>4</v>
      </c>
      <c r="C12" s="1" t="s">
        <v>37</v>
      </c>
      <c r="D12">
        <v>4.5999999999999999E-2</v>
      </c>
      <c r="E12" s="1">
        <v>8.9999999999999993E-3</v>
      </c>
      <c r="F12" s="1">
        <v>0</v>
      </c>
      <c r="G12" s="1">
        <v>0</v>
      </c>
      <c r="H12" s="1">
        <v>1</v>
      </c>
    </row>
    <row r="13" spans="1:8" ht="19" customHeight="1" x14ac:dyDescent="0.15">
      <c r="A13" s="1" t="s">
        <v>18</v>
      </c>
      <c r="B13" s="1">
        <v>5</v>
      </c>
      <c r="C13" s="1" t="s">
        <v>4</v>
      </c>
      <c r="D13" s="1">
        <v>0.19500000000000001</v>
      </c>
      <c r="E13" s="1">
        <v>7.9000000000000001E-2</v>
      </c>
      <c r="F13" s="1">
        <v>0</v>
      </c>
      <c r="G13" s="1">
        <v>0</v>
      </c>
      <c r="H13" s="1">
        <v>1</v>
      </c>
    </row>
    <row r="14" spans="1:8" ht="19" customHeight="1" x14ac:dyDescent="0.15">
      <c r="A14" s="1" t="s">
        <v>18</v>
      </c>
      <c r="B14" s="1">
        <v>6</v>
      </c>
      <c r="C14" s="1" t="s">
        <v>5</v>
      </c>
      <c r="D14" s="1">
        <v>0.28999999999999998</v>
      </c>
      <c r="E14" s="1">
        <v>8.8999999999999996E-2</v>
      </c>
      <c r="F14" s="1">
        <v>1</v>
      </c>
      <c r="G14" s="1">
        <v>1</v>
      </c>
      <c r="H14" s="1">
        <v>0</v>
      </c>
    </row>
    <row r="15" spans="1:8" ht="19" customHeight="1" x14ac:dyDescent="0.15">
      <c r="A15" s="1" t="s">
        <v>18</v>
      </c>
      <c r="B15" s="1">
        <v>7</v>
      </c>
      <c r="C15" s="1" t="s">
        <v>6</v>
      </c>
      <c r="D15" s="1">
        <v>0.04</v>
      </c>
      <c r="E15" s="1">
        <v>0.01</v>
      </c>
      <c r="F15" s="1">
        <v>1</v>
      </c>
      <c r="G15" s="1">
        <v>1</v>
      </c>
      <c r="H15" s="1">
        <v>0</v>
      </c>
    </row>
    <row r="16" spans="1:8" ht="19" customHeight="1" x14ac:dyDescent="0.15">
      <c r="A16" s="1" t="s">
        <v>18</v>
      </c>
      <c r="B16" s="1">
        <v>8</v>
      </c>
      <c r="C16" s="1" t="s">
        <v>7</v>
      </c>
      <c r="D16" s="1">
        <v>0.03</v>
      </c>
      <c r="E16" s="1">
        <v>0.01</v>
      </c>
      <c r="F16" s="1">
        <v>1</v>
      </c>
      <c r="G16" s="1">
        <v>1</v>
      </c>
      <c r="H16" s="1">
        <v>0</v>
      </c>
    </row>
    <row r="17" spans="1:8" ht="19" customHeight="1" x14ac:dyDescent="0.15">
      <c r="A17" s="1" t="s">
        <v>18</v>
      </c>
      <c r="B17" s="1">
        <v>9</v>
      </c>
      <c r="C17" s="1" t="s">
        <v>32</v>
      </c>
      <c r="D17" s="1">
        <v>0.16</v>
      </c>
      <c r="E17" s="1">
        <v>2E-3</v>
      </c>
      <c r="F17" s="1">
        <v>1</v>
      </c>
      <c r="G17" s="1">
        <v>1</v>
      </c>
      <c r="H17" s="1">
        <v>0</v>
      </c>
    </row>
    <row r="18" spans="1:8" ht="18" customHeight="1" x14ac:dyDescent="0.15">
      <c r="A18" s="1" t="s">
        <v>19</v>
      </c>
      <c r="B18" s="1">
        <v>11</v>
      </c>
      <c r="C18" s="1" t="s">
        <v>8</v>
      </c>
      <c r="D18" s="1">
        <v>6.2E-2</v>
      </c>
      <c r="E18" s="1">
        <v>4.1000000000000002E-2</v>
      </c>
      <c r="F18" s="1">
        <v>1</v>
      </c>
      <c r="G18" s="1">
        <v>1</v>
      </c>
      <c r="H18" s="1">
        <v>0</v>
      </c>
    </row>
    <row r="19" spans="1:8" ht="19" customHeight="1" x14ac:dyDescent="0.15">
      <c r="A19" s="1" t="s">
        <v>19</v>
      </c>
      <c r="B19" s="1">
        <v>12</v>
      </c>
      <c r="C19" s="1" t="s">
        <v>9</v>
      </c>
      <c r="D19" s="1">
        <v>2.4E-2</v>
      </c>
      <c r="E19" s="1">
        <v>6.0000000000000001E-3</v>
      </c>
      <c r="F19" s="1">
        <v>1</v>
      </c>
      <c r="G19" s="1">
        <v>1</v>
      </c>
      <c r="H19" s="1">
        <v>0</v>
      </c>
    </row>
    <row r="20" spans="1:8" ht="19" customHeight="1" x14ac:dyDescent="0.15">
      <c r="A20" s="1" t="s">
        <v>19</v>
      </c>
      <c r="B20" s="1">
        <v>13</v>
      </c>
      <c r="C20" s="1" t="s">
        <v>10</v>
      </c>
      <c r="D20" s="1">
        <v>1.4999999999999999E-2</v>
      </c>
      <c r="E20" s="1">
        <v>4.0000000000000001E-3</v>
      </c>
      <c r="F20" s="1">
        <v>1</v>
      </c>
      <c r="G20" s="1">
        <v>1</v>
      </c>
      <c r="H20" s="1">
        <v>1</v>
      </c>
    </row>
    <row r="21" spans="1:8" ht="19" customHeight="1" x14ac:dyDescent="0.15">
      <c r="A21" s="1" t="s">
        <v>19</v>
      </c>
      <c r="B21" s="1">
        <v>14</v>
      </c>
      <c r="C21" s="1" t="s">
        <v>11</v>
      </c>
      <c r="D21" s="1">
        <v>6.9000000000000006E-2</v>
      </c>
      <c r="E21" s="1">
        <v>2.5000000000000001E-2</v>
      </c>
      <c r="F21" s="1">
        <v>0</v>
      </c>
      <c r="G21" s="1">
        <v>1</v>
      </c>
      <c r="H21" s="1">
        <v>1</v>
      </c>
    </row>
    <row r="22" spans="1:8" ht="19" customHeight="1" x14ac:dyDescent="0.15">
      <c r="A22" s="1" t="s">
        <v>19</v>
      </c>
      <c r="B22" s="1">
        <v>15</v>
      </c>
      <c r="C22" s="1" t="s">
        <v>12</v>
      </c>
      <c r="D22" s="1">
        <v>0.12</v>
      </c>
      <c r="E22" s="1">
        <v>4.4999999999999998E-2</v>
      </c>
      <c r="F22" s="1">
        <v>0</v>
      </c>
      <c r="G22" s="1">
        <v>1</v>
      </c>
      <c r="H22" s="1">
        <v>0</v>
      </c>
    </row>
    <row r="23" spans="1:8" ht="19" customHeight="1" x14ac:dyDescent="0.15">
      <c r="A23" s="1" t="s">
        <v>19</v>
      </c>
      <c r="B23" s="1">
        <v>16</v>
      </c>
      <c r="C23" s="1" t="s">
        <v>31</v>
      </c>
      <c r="D23" s="1">
        <v>0.08</v>
      </c>
      <c r="E23" s="1">
        <v>0.01</v>
      </c>
      <c r="F23" s="1">
        <v>0</v>
      </c>
      <c r="G23" s="1">
        <v>1</v>
      </c>
      <c r="H23" s="1">
        <v>0</v>
      </c>
    </row>
    <row r="24" spans="1:8" ht="19" customHeight="1" x14ac:dyDescent="0.15">
      <c r="A24" s="1" t="s">
        <v>19</v>
      </c>
      <c r="B24" s="1">
        <v>17</v>
      </c>
      <c r="C24" s="1" t="s">
        <v>13</v>
      </c>
      <c r="D24" s="1">
        <v>3.9E-2</v>
      </c>
      <c r="E24" s="1">
        <v>2.1000000000000001E-2</v>
      </c>
      <c r="F24" s="1">
        <v>1</v>
      </c>
      <c r="G24" s="1">
        <v>1</v>
      </c>
      <c r="H24" s="1">
        <v>1</v>
      </c>
    </row>
    <row r="25" spans="1:8" ht="17" customHeight="1" x14ac:dyDescent="0.15">
      <c r="A25" s="1" t="s">
        <v>19</v>
      </c>
      <c r="B25" s="1">
        <v>18</v>
      </c>
      <c r="C25" s="1" t="s">
        <v>14</v>
      </c>
      <c r="D25" s="1">
        <v>4.8000000000000001E-2</v>
      </c>
      <c r="E25" s="1">
        <v>2E-3</v>
      </c>
      <c r="F25" s="1">
        <v>1</v>
      </c>
      <c r="G25" s="1">
        <v>1</v>
      </c>
      <c r="H25" s="1">
        <v>1</v>
      </c>
    </row>
    <row r="26" spans="1:8" ht="17" customHeight="1" x14ac:dyDescent="0.15">
      <c r="A26" s="1" t="s">
        <v>19</v>
      </c>
      <c r="B26" s="1">
        <v>19</v>
      </c>
      <c r="C26" s="1" t="s">
        <v>45</v>
      </c>
      <c r="D26" s="1">
        <v>9.1999999999999998E-2</v>
      </c>
      <c r="E26" s="1">
        <v>4.4999999999999998E-2</v>
      </c>
      <c r="F26" s="1">
        <v>0</v>
      </c>
      <c r="G26" s="1">
        <v>1</v>
      </c>
      <c r="H26" s="1">
        <v>1</v>
      </c>
    </row>
    <row r="27" spans="1:8" x14ac:dyDescent="0.15">
      <c r="A27" s="1" t="s">
        <v>19</v>
      </c>
      <c r="B27" s="1">
        <v>20</v>
      </c>
      <c r="C27" s="1" t="s">
        <v>49</v>
      </c>
      <c r="D27" s="1">
        <v>0.107</v>
      </c>
      <c r="E27" s="1">
        <v>8.0000000000000002E-3</v>
      </c>
      <c r="F27" s="1">
        <v>0</v>
      </c>
    </row>
    <row r="28" spans="1:8" x14ac:dyDescent="0.15">
      <c r="A28" s="1" t="s">
        <v>19</v>
      </c>
      <c r="B28" s="1">
        <v>21</v>
      </c>
      <c r="C28" s="1" t="s">
        <v>34</v>
      </c>
      <c r="D28" s="1">
        <v>6.8000000000000005E-2</v>
      </c>
      <c r="E28" s="1">
        <v>2E-3</v>
      </c>
      <c r="F28" s="1">
        <v>1</v>
      </c>
      <c r="G28" s="1">
        <v>1</v>
      </c>
      <c r="H28" s="1">
        <v>1</v>
      </c>
    </row>
    <row r="29" spans="1:8" x14ac:dyDescent="0.15">
      <c r="A29" s="1" t="s">
        <v>19</v>
      </c>
      <c r="B29" s="1">
        <v>22</v>
      </c>
      <c r="C29" s="1" t="s">
        <v>33</v>
      </c>
      <c r="D29" s="1">
        <v>7.2999999999999995E-2</v>
      </c>
      <c r="E29" s="1">
        <v>3.1E-2</v>
      </c>
      <c r="F29" s="1">
        <v>0</v>
      </c>
      <c r="G29" s="1">
        <v>1</v>
      </c>
      <c r="H29" s="1">
        <v>1</v>
      </c>
    </row>
    <row r="30" spans="1:8" x14ac:dyDescent="0.15">
      <c r="A30" s="1" t="s">
        <v>19</v>
      </c>
      <c r="B30" s="1">
        <v>23</v>
      </c>
      <c r="C30" s="1" t="s">
        <v>15</v>
      </c>
      <c r="D30" s="1">
        <v>0.05</v>
      </c>
      <c r="F30" s="1">
        <v>0</v>
      </c>
      <c r="G30" s="1">
        <v>1</v>
      </c>
      <c r="H30" s="1">
        <v>0</v>
      </c>
    </row>
    <row r="31" spans="1:8" x14ac:dyDescent="0.15">
      <c r="A31" s="1" t="s">
        <v>19</v>
      </c>
      <c r="B31" s="1">
        <v>24</v>
      </c>
      <c r="C31" s="1" t="s">
        <v>15</v>
      </c>
      <c r="D31" s="1">
        <v>0.14899999999999999</v>
      </c>
      <c r="E31" s="1">
        <v>5.7000000000000002E-2</v>
      </c>
      <c r="F31" s="1">
        <v>0</v>
      </c>
      <c r="G31" s="1">
        <v>1</v>
      </c>
      <c r="H31" s="1">
        <v>0</v>
      </c>
    </row>
    <row r="32" spans="1:8" x14ac:dyDescent="0.15">
      <c r="A32" s="1" t="s">
        <v>19</v>
      </c>
      <c r="B32" s="1">
        <v>25</v>
      </c>
      <c r="C32" s="1" t="s">
        <v>35</v>
      </c>
      <c r="D32" s="1">
        <v>0.156</v>
      </c>
      <c r="E32" s="1">
        <v>6.0000000000000001E-3</v>
      </c>
      <c r="F32" s="1">
        <v>0</v>
      </c>
      <c r="G32" s="1">
        <v>1</v>
      </c>
      <c r="H32" s="1">
        <v>1</v>
      </c>
    </row>
    <row r="33" spans="1:8" x14ac:dyDescent="0.15">
      <c r="A33" s="1" t="s">
        <v>19</v>
      </c>
      <c r="B33" s="1">
        <v>26</v>
      </c>
      <c r="C33" s="1" t="s">
        <v>36</v>
      </c>
      <c r="D33" s="1">
        <v>4.9000000000000002E-2</v>
      </c>
      <c r="E33" s="1">
        <v>7.0000000000000001E-3</v>
      </c>
      <c r="F33" s="1">
        <v>0</v>
      </c>
      <c r="G33" s="1">
        <v>1</v>
      </c>
      <c r="H33" s="1">
        <v>1</v>
      </c>
    </row>
    <row r="34" spans="1:8" x14ac:dyDescent="0.15">
      <c r="A34" s="1" t="s">
        <v>19</v>
      </c>
      <c r="B34" s="1">
        <v>27</v>
      </c>
      <c r="C34" s="1" t="s">
        <v>47</v>
      </c>
      <c r="D34" s="1">
        <v>8.5000000000000006E-2</v>
      </c>
      <c r="E34" s="1">
        <v>0.02</v>
      </c>
      <c r="F34" s="1">
        <v>0</v>
      </c>
      <c r="G34" s="1">
        <v>1</v>
      </c>
      <c r="H34" s="1">
        <v>0</v>
      </c>
    </row>
    <row r="35" spans="1:8" x14ac:dyDescent="0.15">
      <c r="A35" s="1" t="s">
        <v>19</v>
      </c>
      <c r="B35" s="1">
        <v>28</v>
      </c>
      <c r="C35" s="1" t="s">
        <v>25</v>
      </c>
      <c r="D35" s="1">
        <v>0.48</v>
      </c>
      <c r="E35" s="1">
        <v>0.22</v>
      </c>
      <c r="F35" s="1">
        <v>0</v>
      </c>
      <c r="G35" s="1">
        <v>0</v>
      </c>
      <c r="H35" s="1">
        <v>0</v>
      </c>
    </row>
    <row r="36" spans="1:8" x14ac:dyDescent="0.15">
      <c r="A36" s="1" t="s">
        <v>19</v>
      </c>
      <c r="B36" s="1">
        <v>29</v>
      </c>
      <c r="C36" s="1" t="s">
        <v>38</v>
      </c>
      <c r="D36" s="1">
        <v>0.15</v>
      </c>
      <c r="E36" s="1">
        <v>6.6000000000000003E-2</v>
      </c>
      <c r="F36" s="1">
        <v>0</v>
      </c>
      <c r="G36" s="1">
        <v>1</v>
      </c>
      <c r="H36" s="1">
        <v>0</v>
      </c>
    </row>
    <row r="37" spans="1:8" x14ac:dyDescent="0.15">
      <c r="A37" s="1" t="s">
        <v>19</v>
      </c>
      <c r="B37">
        <v>30</v>
      </c>
      <c r="C37" s="1" t="s">
        <v>50</v>
      </c>
      <c r="D37">
        <v>9.0999999999999998E-2</v>
      </c>
      <c r="E37" s="1">
        <v>4.0000000000000001E-3</v>
      </c>
      <c r="F37" s="1">
        <v>0</v>
      </c>
      <c r="G37" s="1">
        <v>1</v>
      </c>
      <c r="H37" s="1">
        <v>0</v>
      </c>
    </row>
    <row r="38" spans="1:8" x14ac:dyDescent="0.15">
      <c r="A38" s="1" t="s">
        <v>27</v>
      </c>
      <c r="B38" s="1">
        <v>32</v>
      </c>
      <c r="C38" s="1" t="s">
        <v>37</v>
      </c>
      <c r="D38" s="1">
        <f>CalculatingOwnPhi!B3</f>
        <v>1.0938125416944628</v>
      </c>
    </row>
    <row r="39" spans="1:8" x14ac:dyDescent="0.15">
      <c r="A39" s="1" t="s">
        <v>27</v>
      </c>
      <c r="B39" s="1">
        <v>33</v>
      </c>
      <c r="C39" s="1" t="s">
        <v>37</v>
      </c>
      <c r="D39" s="1">
        <f>CalculatingOwnPhi!B4</f>
        <v>1.0716273739358217</v>
      </c>
    </row>
    <row r="40" spans="1:8" x14ac:dyDescent="0.15">
      <c r="A40" s="1" t="s">
        <v>27</v>
      </c>
      <c r="B40" s="1">
        <v>34</v>
      </c>
      <c r="C40" s="1" t="s">
        <v>37</v>
      </c>
      <c r="D40" s="1">
        <f>CalculatingOwnPhi!B5</f>
        <v>0.92803684513529072</v>
      </c>
    </row>
    <row r="41" spans="1:8" x14ac:dyDescent="0.15">
      <c r="A41" s="1" t="s">
        <v>27</v>
      </c>
      <c r="B41" s="1">
        <v>35</v>
      </c>
      <c r="C41" s="1" t="s">
        <v>37</v>
      </c>
      <c r="D41" s="1">
        <f>CalculatingOwnPhi!B6</f>
        <v>1.1530790762771168</v>
      </c>
    </row>
    <row r="42" spans="1:8" x14ac:dyDescent="0.15">
      <c r="C42" s="1"/>
      <c r="D42" s="1"/>
    </row>
  </sheetData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4" sqref="A4"/>
    </sheetView>
  </sheetViews>
  <sheetFormatPr baseColWidth="10" defaultColWidth="9" defaultRowHeight="13" x14ac:dyDescent="0.15"/>
  <cols>
    <col min="2" max="2" width="12.19921875" bestFit="1" customWidth="1"/>
  </cols>
  <sheetData>
    <row r="1" spans="1:2" x14ac:dyDescent="0.15">
      <c r="A1" t="s">
        <v>39</v>
      </c>
      <c r="B1">
        <v>0.104</v>
      </c>
    </row>
    <row r="2" spans="1:2" x14ac:dyDescent="0.15">
      <c r="A2" t="s">
        <v>40</v>
      </c>
      <c r="B2" t="s">
        <v>41</v>
      </c>
    </row>
    <row r="3" spans="1:2" x14ac:dyDescent="0.15">
      <c r="A3">
        <v>-8.9999999999999993E-3</v>
      </c>
      <c r="B3">
        <f>(1-A3)/(1 + A3*(1/$B$1-1))</f>
        <v>1.0938125416944628</v>
      </c>
    </row>
    <row r="4" spans="1:2" x14ac:dyDescent="0.15">
      <c r="A4">
        <v>-7.0000000000000001E-3</v>
      </c>
      <c r="B4">
        <f t="shared" ref="B4:B6" si="0">(1-A4)/(1 + A4*(1/$B$1-1))</f>
        <v>1.0716273739358217</v>
      </c>
    </row>
    <row r="5" spans="1:2" x14ac:dyDescent="0.15">
      <c r="A5">
        <v>8.0000000000000002E-3</v>
      </c>
      <c r="B5">
        <f t="shared" si="0"/>
        <v>0.92803684513529072</v>
      </c>
    </row>
    <row r="6" spans="1:2" x14ac:dyDescent="0.15">
      <c r="A6">
        <v>-1.4E-2</v>
      </c>
      <c r="B6">
        <f t="shared" si="0"/>
        <v>1.1530790762771168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CalculatingOwnPhi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sgyoung</dc:creator>
  <cp:lastModifiedBy>Microsoft Office User</cp:lastModifiedBy>
  <dcterms:created xsi:type="dcterms:W3CDTF">2018-03-30T09:25:51Z</dcterms:created>
  <dcterms:modified xsi:type="dcterms:W3CDTF">2020-04-29T00:13:03Z</dcterms:modified>
</cp:coreProperties>
</file>